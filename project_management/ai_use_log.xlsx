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I Use Log" sheetId="1" state="visible" r:id="rId3"/>
    <sheet name="Summary Stats" sheetId="2" state="visible" r:id="rId4"/>
    <sheet name="Attribution Policy" sheetId="3" state="visible" r:id="rId5"/>
  </sheets>
  <definedNames>
    <definedName function="false" hidden="true" localSheetId="0" name="_xlnm._FilterDatabase" vbProcedure="false">'AI Use Log'!$A$1:$S$1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<sst xmlns="http://schemas.openxmlformats.org/spreadsheetml/2006/main" count="173" uniqueCount="109">
  <si>
    <t xml:space="preserve">Entry #</t>
  </si>
  <si>
    <t xml:space="preserve">Date</t>
  </si>
  <si>
    <t xml:space="preserve">Phase</t>
  </si>
  <si>
    <t xml:space="preserve">Task ID</t>
  </si>
  <si>
    <t xml:space="preserve">Description</t>
  </si>
  <si>
    <t xml:space="preserve">AI Tool</t>
  </si>
  <si>
    <t xml:space="preserve">AI Role</t>
  </si>
  <si>
    <t xml:space="preserve">Prompt Summary</t>
  </si>
  <si>
    <t xml:space="preserve">Output File(s)</t>
  </si>
  <si>
    <t xml:space="preserve">Human Reviewer</t>
  </si>
  <si>
    <t xml:space="preserve">Review Status</t>
  </si>
  <si>
    <t xml:space="preserve">Review Date</t>
  </si>
  <si>
    <t xml:space="preserve">Correctness</t>
  </si>
  <si>
    <t xml:space="preserve">Efficiency</t>
  </si>
  <si>
    <t xml:space="preserve">Edge Cases</t>
  </si>
  <si>
    <t xml:space="preserve">Documentation</t>
  </si>
  <si>
    <t xml:space="preserve">Reproducibility</t>
  </si>
  <si>
    <t xml:space="preserve">Review Notes</t>
  </si>
  <si>
    <t xml:space="preserve">Sign-off Initials</t>
  </si>
  <si>
    <t xml:space="preserve">2026-03-04</t>
  </si>
  <si>
    <t xml:space="preserve">P1.1</t>
  </si>
  <si>
    <t xml:space="preserve">Compile list of similar Zoonomia/beetle genome projects</t>
  </si>
  <si>
    <t xml:space="preserve">Claude</t>
  </si>
  <si>
    <t xml:space="preserve">Generated</t>
  </si>
  <si>
    <t xml:space="preserve">Search for Zoonomia methods + beetle comparative genomics papers</t>
  </si>
  <si>
    <t xml:space="preserve">results/phase1_literature/similar_projects_list.md</t>
  </si>
  <si>
    <t xml:space="preserve">Heath Blackmon</t>
  </si>
  <si>
    <t xml:space="preserve">Pending</t>
  </si>
  <si>
    <t xml:space="preserve">2026-03-10</t>
  </si>
  <si>
    <t xml:space="preserve">P2.1</t>
  </si>
  <si>
    <t xml:space="preserve">Mine NCBI for complete beetle genomes (Entrez)</t>
  </si>
  <si>
    <t xml:space="preserve">Python script: query NCBI Entrez for Coleoptera assemblies</t>
  </si>
  <si>
    <t xml:space="preserve">scripts/phase2/mine_ncbi_genomes.py
results/phase2_genome_inventory/ncbi_raw.csv</t>
  </si>
  <si>
    <t xml:space="preserve">2026-03-11</t>
  </si>
  <si>
    <t xml:space="preserve">P2.2</t>
  </si>
  <si>
    <t xml:space="preserve">Mine Ensembl/RefSeq for beetle genomes</t>
  </si>
  <si>
    <t xml:space="preserve">Python script: query Ensembl REST API for Coleoptera genomes</t>
  </si>
  <si>
    <t xml:space="preserve">scripts/phase2/mine_ensembl_genomes.py
results/phase2_genome_inventory/ensembl_raw.csv</t>
  </si>
  <si>
    <t xml:space="preserve">2026-03-13</t>
  </si>
  <si>
    <t xml:space="preserve">P2.3</t>
  </si>
  <si>
    <t xml:space="preserve">Merge &amp; deduplicate genome lists</t>
  </si>
  <si>
    <t xml:space="preserve">R script: merge CSV files, deduplicate by accession, rank quality</t>
  </si>
  <si>
    <t xml:space="preserve">scripts/phase2/merge_deduplicate_genomes.R
data/genomes/genome_candidates_merged.csv</t>
  </si>
  <si>
    <t xml:space="preserve">2026-03-18</t>
  </si>
  <si>
    <t xml:space="preserve">P2.6</t>
  </si>
  <si>
    <t xml:space="preserve">Build constraint phylogenetic tree</t>
  </si>
  <si>
    <t xml:space="preserve">R script: build tree from constraint data using ape/phytools</t>
  </si>
  <si>
    <t xml:space="preserve">scripts/phase2/build_constraint_tree.R
data/genomes/constraint_tree.nwk</t>
  </si>
  <si>
    <t xml:space="preserve">2026-03-20</t>
  </si>
  <si>
    <t xml:space="preserve">P3.1</t>
  </si>
  <si>
    <t xml:space="preserve">Setup ProgressiveCactus pipeline on Grace HPC</t>
  </si>
  <si>
    <t xml:space="preserve">Snakemake + SLURM scripts for Grace cluster</t>
  </si>
  <si>
    <t xml:space="preserve">scripts/phase3/alignment_snakefile.smk
scripts/phase3/grace_slurm_template.sh</t>
  </si>
  <si>
    <t xml:space="preserve">2026-03-23</t>
  </si>
  <si>
    <t xml:space="preserve">P3.3</t>
  </si>
  <si>
    <t xml:space="preserve">Extract synteny blocks from HAL</t>
  </si>
  <si>
    <t xml:space="preserve">Python script: parse HAL, extract collinear blocks ≥10kb</t>
  </si>
  <si>
    <t xml:space="preserve">scripts/phase3/extract_synteny_from_hal.py
data/synteny/synteny_blocks_raw.tsv</t>
  </si>
  <si>
    <t xml:space="preserve">2026-03-26</t>
  </si>
  <si>
    <t xml:space="preserve">P4.1</t>
  </si>
  <si>
    <t xml:space="preserve">Call rearrangement breakpoints from synteny data</t>
  </si>
  <si>
    <t xml:space="preserve">R script: identify inversions, fusions, fissions, translocations</t>
  </si>
  <si>
    <t xml:space="preserve">scripts/phase4/call_rearrangements.R
data/karyotypes/rearrangements_raw.tsv</t>
  </si>
  <si>
    <t xml:space="preserve">2026-03-28</t>
  </si>
  <si>
    <t xml:space="preserve">P4.2</t>
  </si>
  <si>
    <t xml:space="preserve">Filter rearrangements: confirmed vs inferred</t>
  </si>
  <si>
    <t xml:space="preserve">R script: classify rearrangements by confidence criteria</t>
  </si>
  <si>
    <t xml:space="preserve">scripts/phase4/filter_rearrangements.R
data/karyotypes/rearrangements_confirmed.tsv</t>
  </si>
  <si>
    <t xml:space="preserve">2026-03-31</t>
  </si>
  <si>
    <t xml:space="preserve">P4.3-6</t>
  </si>
  <si>
    <t xml:space="preserve">Map rearrangements to tree, stats, ancestral karyotypes</t>
  </si>
  <si>
    <t xml:space="preserve">R scripts: tree mapping, branch stats, parsimony reconstruction</t>
  </si>
  <si>
    <t xml:space="preserve">scripts/phase4/map_to_tree.R
scripts/phase4/branch_stats.R
scripts/phase4/reconstruct_karyotypes.R</t>
  </si>
  <si>
    <t xml:space="preserve">2026-04-01</t>
  </si>
  <si>
    <t xml:space="preserve">P5.1</t>
  </si>
  <si>
    <t xml:space="preserve">Interactive phylogenetic tree visualization</t>
  </si>
  <si>
    <t xml:space="preserve">R Shiny or D3.js: tree with rearrangement annotations</t>
  </si>
  <si>
    <t xml:space="preserve">scripts/phase5/build_interactive_tree.R
results/phase5_viz_manuscript/beetle_tree_interactive.html</t>
  </si>
  <si>
    <t xml:space="preserve">P5.2</t>
  </si>
  <si>
    <t xml:space="preserve">Synteny dotplots for 15-20 species pairs</t>
  </si>
  <si>
    <t xml:space="preserve">R script: high-res dotplots with ggplot2</t>
  </si>
  <si>
    <t xml:space="preserve">scripts/phase5/generate_dotplots.R
manuscript/figures/synteny_dotplots.pdf</t>
  </si>
  <si>
    <t xml:space="preserve">2026-04-02</t>
  </si>
  <si>
    <t xml:space="preserve">P5.3</t>
  </si>
  <si>
    <t xml:space="preserve">Hotspot visualizations (radial tree, heatmap, density)</t>
  </si>
  <si>
    <t xml:space="preserve">R script: 3 complementary hotspot figures</t>
  </si>
  <si>
    <t xml:space="preserve">scripts/phase5/hotspot_viz.R
manuscript/figures/hotspot_figures.pdf</t>
  </si>
  <si>
    <t xml:space="preserve">P5.4</t>
  </si>
  <si>
    <t xml:space="preserve">Ancestral karyotype schematic diagrams</t>
  </si>
  <si>
    <t xml:space="preserve">R script: chromosome schematics at major ancestral nodes</t>
  </si>
  <si>
    <t xml:space="preserve">scripts/phase5/ancestral_karyotypes.R
manuscript/figures/ancestral_karyotype_figures.pdf</t>
  </si>
  <si>
    <t xml:space="preserve">2026-04-03</t>
  </si>
  <si>
    <t xml:space="preserve">P5.5</t>
  </si>
  <si>
    <t xml:space="preserve">Package data release for Zenodo/bioRxiv</t>
  </si>
  <si>
    <t xml:space="preserve">Directory structure, README, MANIFEST, tar.gz archive</t>
  </si>
  <si>
    <t xml:space="preserve">results/phase5_viz_manuscript/coleoptera_zoonomia_release.tar.gz</t>
  </si>
  <si>
    <t xml:space="preserve">2026-04-04</t>
  </si>
  <si>
    <t xml:space="preserve">P5.6</t>
  </si>
  <si>
    <t xml:space="preserve">Draft Results section + assemble manuscript figures</t>
  </si>
  <si>
    <t xml:space="preserve">3000-5000 word Results draft, Fig 1-4 with captions</t>
  </si>
  <si>
    <t xml:space="preserve">manuscript/drafts/results_section.docx
manuscript/drafts/preprint_v1.docx</t>
  </si>
  <si>
    <t xml:space="preserve">Total Entries</t>
  </si>
  <si>
    <t xml:space="preserve">Approved</t>
  </si>
  <si>
    <t xml:space="preserve">Rejected</t>
  </si>
  <si>
    <t xml:space="preserve">TOTAL</t>
  </si>
  <si>
    <t xml:space="preserve">AI CONTRIBUTION STATEMENT (for preprint/publication)</t>
  </si>
  <si>
    <t xml:space="preserve">Computational code for genome mining, phylogenetic analysis, and visualization was generated with assistance from Claude (Anthropic), an AI language model. All code was reviewed, tested, and validated by H.B. before use. A detailed log of AI-generated contributions is provided in project_management/ai_use_log.xlsx.</t>
  </si>
  <si>
    <t xml:space="preserve">AUTHORSHIP POLICY</t>
  </si>
  <si>
    <t xml:space="preserve">Claude is NOT listed as an author (per Anthropic guidelines and scientific norms). Claude is acknowledged in the Acknowledgments section. The Contributions section specifies which analyses benefited from AI assistance.</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</si>
</sst>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name val="Arial"/>
      <family val="0"/>
      <charset val="1"/>
    </font>
    <font>
      <b val="true"/>
      <sz val="12"/>
      <name val="Arial"/>
      <family val="0"/>
      <charset val="1"/>
    </font>
  </fonts>
  <fills count="4">
    <fill>
      <patternFill patternType="none"/>
    </fill>
    <fill>
      <patternFill patternType="gray125"/>
    </fill>
    <fill>
      <patternFill patternType="solid">
        <fgColor rgb="FF2F5496"/>
        <bgColor rgb="FF666699"/>
      </patternFill>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2F5496"/>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496"/>
    <pageSetUpPr fitToPage="false"/>
  </sheetPr>
  <dimension ref="A1:S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7"/>
    <col collapsed="false" customWidth="true" hidden="false" outlineLevel="0" max="4" min="4" style="0" width="9"/>
    <col collapsed="false" customWidth="true" hidden="false" outlineLevel="0" max="5" min="5" style="0" width="30"/>
    <col collapsed="false" customWidth="true" hidden="false" outlineLevel="0" max="7" min="6" style="0" width="12"/>
    <col collapsed="false" customWidth="true" hidden="false" outlineLevel="0" max="8" min="8" style="0" width="30"/>
    <col collapsed="false" customWidth="true" hidden="false" outlineLevel="0" max="9" min="9" style="0" width="35"/>
    <col collapsed="false" customWidth="true" hidden="false" outlineLevel="0" max="10" min="10" style="0" width="16"/>
    <col collapsed="false" customWidth="true" hidden="false" outlineLevel="0" max="11" min="11" style="0" width="14"/>
    <col collapsed="false" customWidth="true" hidden="false" outlineLevel="0" max="17" min="12" style="0" width="12"/>
    <col collapsed="false" customWidth="true" hidden="false" outlineLevel="0" max="18" min="18" style="0" width="30"/>
    <col collapsed="false" customWidth="true" hidden="false" outlineLevel="0" max="19" min="19" style="0" width="14"/>
  </cols>
  <sheetData>
    <row r="1" customFormat="false" ht="26.8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ustomFormat="false" ht="35.05" hidden="false" customHeight="false" outlineLevel="0" collapsed="false">
      <c r="A2" s="2" t="n">
        <v>1</v>
      </c>
      <c r="B2" s="2" t="s">
        <v>19</v>
      </c>
      <c r="C2" s="2" t="n">
        <v>1</v>
      </c>
      <c r="D2" s="2" t="s">
        <v>20</v>
      </c>
      <c r="E2" s="2" t="s">
        <v>21</v>
      </c>
      <c r="F2" s="2" t="s">
        <v>22</v>
      </c>
      <c r="G2" s="2" t="s">
        <v>23</v>
      </c>
      <c r="H2" s="2" t="s">
        <v>24</v>
      </c>
      <c r="I2" s="2" t="s">
        <v>25</v>
      </c>
      <c r="J2" s="2" t="s">
        <v>26</v>
      </c>
      <c r="K2" s="3" t="s">
        <v>27</v>
      </c>
      <c r="L2" s="2"/>
      <c r="M2" s="2"/>
      <c r="N2" s="2"/>
      <c r="O2" s="2"/>
      <c r="P2" s="2"/>
      <c r="Q2" s="2"/>
      <c r="R2" s="2"/>
      <c r="S2" s="2"/>
    </row>
    <row r="3" customFormat="false" ht="35.05" hidden="false" customHeight="false" outlineLevel="0" collapsed="false">
      <c r="A3" s="2" t="n">
        <v>2</v>
      </c>
      <c r="B3" s="2" t="s">
        <v>28</v>
      </c>
      <c r="C3" s="2" t="n">
        <v>2</v>
      </c>
      <c r="D3" s="2" t="s">
        <v>29</v>
      </c>
      <c r="E3" s="2" t="s">
        <v>30</v>
      </c>
      <c r="F3" s="2" t="s">
        <v>22</v>
      </c>
      <c r="G3" s="2" t="s">
        <v>23</v>
      </c>
      <c r="H3" s="2" t="s">
        <v>31</v>
      </c>
      <c r="I3" s="2" t="s">
        <v>32</v>
      </c>
      <c r="J3" s="2" t="s">
        <v>26</v>
      </c>
      <c r="K3" s="3" t="s">
        <v>27</v>
      </c>
      <c r="L3" s="2"/>
      <c r="M3" s="2"/>
      <c r="N3" s="2"/>
      <c r="O3" s="2"/>
      <c r="P3" s="2"/>
      <c r="Q3" s="2"/>
      <c r="R3" s="2"/>
      <c r="S3" s="2"/>
    </row>
    <row r="4" customFormat="false" ht="46.25" hidden="false" customHeight="false" outlineLevel="0" collapsed="false">
      <c r="A4" s="2" t="n">
        <v>3</v>
      </c>
      <c r="B4" s="2" t="s">
        <v>33</v>
      </c>
      <c r="C4" s="2" t="n">
        <v>2</v>
      </c>
      <c r="D4" s="2" t="s">
        <v>34</v>
      </c>
      <c r="E4" s="2" t="s">
        <v>35</v>
      </c>
      <c r="F4" s="2" t="s">
        <v>22</v>
      </c>
      <c r="G4" s="2" t="s">
        <v>23</v>
      </c>
      <c r="H4" s="2" t="s">
        <v>36</v>
      </c>
      <c r="I4" s="2" t="s">
        <v>37</v>
      </c>
      <c r="J4" s="2" t="s">
        <v>26</v>
      </c>
      <c r="K4" s="3" t="s">
        <v>27</v>
      </c>
      <c r="L4" s="2"/>
      <c r="M4" s="2"/>
      <c r="N4" s="2"/>
      <c r="O4" s="2"/>
      <c r="P4" s="2"/>
      <c r="Q4" s="2"/>
      <c r="R4" s="2"/>
      <c r="S4" s="2"/>
    </row>
    <row r="5" customFormat="false" ht="46.25" hidden="false" customHeight="false" outlineLevel="0" collapsed="false">
      <c r="A5" s="2" t="n">
        <v>4</v>
      </c>
      <c r="B5" s="2" t="s">
        <v>38</v>
      </c>
      <c r="C5" s="2" t="n">
        <v>2</v>
      </c>
      <c r="D5" s="2" t="s">
        <v>39</v>
      </c>
      <c r="E5" s="2" t="s">
        <v>40</v>
      </c>
      <c r="F5" s="2" t="s">
        <v>22</v>
      </c>
      <c r="G5" s="2" t="s">
        <v>23</v>
      </c>
      <c r="H5" s="2" t="s">
        <v>41</v>
      </c>
      <c r="I5" s="2" t="s">
        <v>42</v>
      </c>
      <c r="J5" s="2" t="s">
        <v>26</v>
      </c>
      <c r="K5" s="3" t="s">
        <v>27</v>
      </c>
      <c r="L5" s="2"/>
      <c r="M5" s="2"/>
      <c r="N5" s="2"/>
      <c r="O5" s="2"/>
      <c r="P5" s="2"/>
      <c r="Q5" s="2"/>
      <c r="R5" s="2"/>
      <c r="S5" s="2"/>
    </row>
    <row r="6" customFormat="false" ht="23.85" hidden="false" customHeight="false" outlineLevel="0" collapsed="false">
      <c r="A6" s="2" t="n">
        <v>5</v>
      </c>
      <c r="B6" s="2" t="s">
        <v>43</v>
      </c>
      <c r="C6" s="2" t="n">
        <v>2</v>
      </c>
      <c r="D6" s="2" t="s">
        <v>44</v>
      </c>
      <c r="E6" s="2" t="s">
        <v>45</v>
      </c>
      <c r="F6" s="2" t="s">
        <v>22</v>
      </c>
      <c r="G6" s="2" t="s">
        <v>23</v>
      </c>
      <c r="H6" s="2" t="s">
        <v>46</v>
      </c>
      <c r="I6" s="2" t="s">
        <v>47</v>
      </c>
      <c r="J6" s="2" t="s">
        <v>26</v>
      </c>
      <c r="K6" s="3" t="s">
        <v>27</v>
      </c>
      <c r="L6" s="2"/>
      <c r="M6" s="2"/>
      <c r="N6" s="2"/>
      <c r="O6" s="2"/>
      <c r="P6" s="2"/>
      <c r="Q6" s="2"/>
      <c r="R6" s="2"/>
      <c r="S6" s="2"/>
    </row>
    <row r="7" customFormat="false" ht="23.85" hidden="false" customHeight="false" outlineLevel="0" collapsed="false">
      <c r="A7" s="2" t="n">
        <v>6</v>
      </c>
      <c r="B7" s="2" t="s">
        <v>48</v>
      </c>
      <c r="C7" s="2" t="n">
        <v>3</v>
      </c>
      <c r="D7" s="2" t="s">
        <v>49</v>
      </c>
      <c r="E7" s="2" t="s">
        <v>50</v>
      </c>
      <c r="F7" s="2" t="s">
        <v>22</v>
      </c>
      <c r="G7" s="2" t="s">
        <v>23</v>
      </c>
      <c r="H7" s="2" t="s">
        <v>51</v>
      </c>
      <c r="I7" s="2" t="s">
        <v>52</v>
      </c>
      <c r="J7" s="2" t="s">
        <v>26</v>
      </c>
      <c r="K7" s="3" t="s">
        <v>27</v>
      </c>
      <c r="L7" s="2"/>
      <c r="M7" s="2"/>
      <c r="N7" s="2"/>
      <c r="O7" s="2"/>
      <c r="P7" s="2"/>
      <c r="Q7" s="2"/>
      <c r="R7" s="2"/>
      <c r="S7" s="2"/>
    </row>
    <row r="8" customFormat="false" ht="35.05" hidden="false" customHeight="false" outlineLevel="0" collapsed="false">
      <c r="A8" s="2" t="n">
        <v>7</v>
      </c>
      <c r="B8" s="2" t="s">
        <v>53</v>
      </c>
      <c r="C8" s="2" t="n">
        <v>3</v>
      </c>
      <c r="D8" s="2" t="s">
        <v>54</v>
      </c>
      <c r="E8" s="2" t="s">
        <v>55</v>
      </c>
      <c r="F8" s="2" t="s">
        <v>22</v>
      </c>
      <c r="G8" s="2" t="s">
        <v>23</v>
      </c>
      <c r="H8" s="2" t="s">
        <v>56</v>
      </c>
      <c r="I8" s="2" t="s">
        <v>57</v>
      </c>
      <c r="J8" s="2" t="s">
        <v>26</v>
      </c>
      <c r="K8" s="3" t="s">
        <v>27</v>
      </c>
      <c r="L8" s="2"/>
      <c r="M8" s="2"/>
      <c r="N8" s="2"/>
      <c r="O8" s="2"/>
      <c r="P8" s="2"/>
      <c r="Q8" s="2"/>
      <c r="R8" s="2"/>
      <c r="S8" s="2"/>
    </row>
    <row r="9" customFormat="false" ht="23.85" hidden="false" customHeight="false" outlineLevel="0" collapsed="false">
      <c r="A9" s="2" t="n">
        <v>8</v>
      </c>
      <c r="B9" s="2" t="s">
        <v>58</v>
      </c>
      <c r="C9" s="2" t="n">
        <v>4</v>
      </c>
      <c r="D9" s="2" t="s">
        <v>59</v>
      </c>
      <c r="E9" s="2" t="s">
        <v>60</v>
      </c>
      <c r="F9" s="2" t="s">
        <v>22</v>
      </c>
      <c r="G9" s="2" t="s">
        <v>23</v>
      </c>
      <c r="H9" s="2" t="s">
        <v>61</v>
      </c>
      <c r="I9" s="2" t="s">
        <v>62</v>
      </c>
      <c r="J9" s="2" t="s">
        <v>26</v>
      </c>
      <c r="K9" s="3" t="s">
        <v>27</v>
      </c>
      <c r="L9" s="2"/>
      <c r="M9" s="2"/>
      <c r="N9" s="2"/>
      <c r="O9" s="2"/>
      <c r="P9" s="2"/>
      <c r="Q9" s="2"/>
      <c r="R9" s="2"/>
      <c r="S9" s="2"/>
    </row>
    <row r="10" customFormat="false" ht="35.05" hidden="false" customHeight="false" outlineLevel="0" collapsed="false">
      <c r="A10" s="2" t="n">
        <v>9</v>
      </c>
      <c r="B10" s="2" t="s">
        <v>63</v>
      </c>
      <c r="C10" s="2" t="n">
        <v>4</v>
      </c>
      <c r="D10" s="2" t="s">
        <v>64</v>
      </c>
      <c r="E10" s="2" t="s">
        <v>65</v>
      </c>
      <c r="F10" s="2" t="s">
        <v>22</v>
      </c>
      <c r="G10" s="2" t="s">
        <v>23</v>
      </c>
      <c r="H10" s="2" t="s">
        <v>66</v>
      </c>
      <c r="I10" s="2" t="s">
        <v>67</v>
      </c>
      <c r="J10" s="2" t="s">
        <v>26</v>
      </c>
      <c r="K10" s="3" t="s">
        <v>27</v>
      </c>
      <c r="L10" s="2"/>
      <c r="M10" s="2"/>
      <c r="N10" s="2"/>
      <c r="O10" s="2"/>
      <c r="P10" s="2"/>
      <c r="Q10" s="2"/>
      <c r="R10" s="2"/>
      <c r="S10" s="2"/>
    </row>
    <row r="11" customFormat="false" ht="35.05" hidden="false" customHeight="false" outlineLevel="0" collapsed="false">
      <c r="A11" s="2" t="n">
        <v>10</v>
      </c>
      <c r="B11" s="2" t="s">
        <v>68</v>
      </c>
      <c r="C11" s="2" t="n">
        <v>4</v>
      </c>
      <c r="D11" s="2" t="s">
        <v>69</v>
      </c>
      <c r="E11" s="2" t="s">
        <v>70</v>
      </c>
      <c r="F11" s="2" t="s">
        <v>22</v>
      </c>
      <c r="G11" s="2" t="s">
        <v>23</v>
      </c>
      <c r="H11" s="2" t="s">
        <v>71</v>
      </c>
      <c r="I11" s="2" t="s">
        <v>72</v>
      </c>
      <c r="J11" s="2" t="s">
        <v>26</v>
      </c>
      <c r="K11" s="3" t="s">
        <v>27</v>
      </c>
      <c r="L11" s="2"/>
      <c r="M11" s="2"/>
      <c r="N11" s="2"/>
      <c r="O11" s="2"/>
      <c r="P11" s="2"/>
      <c r="Q11" s="2"/>
      <c r="R11" s="2"/>
      <c r="S11" s="2"/>
    </row>
    <row r="12" customFormat="false" ht="35.05" hidden="false" customHeight="false" outlineLevel="0" collapsed="false">
      <c r="A12" s="2" t="n">
        <v>11</v>
      </c>
      <c r="B12" s="2" t="s">
        <v>73</v>
      </c>
      <c r="C12" s="2" t="n">
        <v>5</v>
      </c>
      <c r="D12" s="2" t="s">
        <v>74</v>
      </c>
      <c r="E12" s="2" t="s">
        <v>75</v>
      </c>
      <c r="F12" s="2" t="s">
        <v>22</v>
      </c>
      <c r="G12" s="2" t="s">
        <v>23</v>
      </c>
      <c r="H12" s="2" t="s">
        <v>76</v>
      </c>
      <c r="I12" s="2" t="s">
        <v>77</v>
      </c>
      <c r="J12" s="2" t="s">
        <v>26</v>
      </c>
      <c r="K12" s="3" t="s">
        <v>27</v>
      </c>
      <c r="L12" s="2"/>
      <c r="M12" s="2"/>
      <c r="N12" s="2"/>
      <c r="O12" s="2"/>
      <c r="P12" s="2"/>
      <c r="Q12" s="2"/>
      <c r="R12" s="2"/>
      <c r="S12" s="2"/>
    </row>
    <row r="13" customFormat="false" ht="23.85" hidden="false" customHeight="false" outlineLevel="0" collapsed="false">
      <c r="A13" s="2" t="n">
        <v>12</v>
      </c>
      <c r="B13" s="2" t="s">
        <v>73</v>
      </c>
      <c r="C13" s="2" t="n">
        <v>5</v>
      </c>
      <c r="D13" s="2" t="s">
        <v>78</v>
      </c>
      <c r="E13" s="2" t="s">
        <v>79</v>
      </c>
      <c r="F13" s="2" t="s">
        <v>22</v>
      </c>
      <c r="G13" s="2" t="s">
        <v>23</v>
      </c>
      <c r="H13" s="2" t="s">
        <v>80</v>
      </c>
      <c r="I13" s="2" t="s">
        <v>81</v>
      </c>
      <c r="J13" s="2" t="s">
        <v>26</v>
      </c>
      <c r="K13" s="3" t="s">
        <v>27</v>
      </c>
      <c r="L13" s="2"/>
      <c r="M13" s="2"/>
      <c r="N13" s="2"/>
      <c r="O13" s="2"/>
      <c r="P13" s="2"/>
      <c r="Q13" s="2"/>
      <c r="R13" s="2"/>
      <c r="S13" s="2"/>
    </row>
    <row r="14" customFormat="false" ht="23.85" hidden="false" customHeight="false" outlineLevel="0" collapsed="false">
      <c r="A14" s="2" t="n">
        <v>13</v>
      </c>
      <c r="B14" s="2" t="s">
        <v>82</v>
      </c>
      <c r="C14" s="2" t="n">
        <v>5</v>
      </c>
      <c r="D14" s="2" t="s">
        <v>83</v>
      </c>
      <c r="E14" s="2" t="s">
        <v>84</v>
      </c>
      <c r="F14" s="2" t="s">
        <v>22</v>
      </c>
      <c r="G14" s="2" t="s">
        <v>23</v>
      </c>
      <c r="H14" s="2" t="s">
        <v>85</v>
      </c>
      <c r="I14" s="2" t="s">
        <v>86</v>
      </c>
      <c r="J14" s="2" t="s">
        <v>26</v>
      </c>
      <c r="K14" s="3" t="s">
        <v>27</v>
      </c>
      <c r="L14" s="2"/>
      <c r="M14" s="2"/>
      <c r="N14" s="2"/>
      <c r="O14" s="2"/>
      <c r="P14" s="2"/>
      <c r="Q14" s="2"/>
      <c r="R14" s="2"/>
      <c r="S14" s="2"/>
    </row>
    <row r="15" customFormat="false" ht="35.05" hidden="false" customHeight="false" outlineLevel="0" collapsed="false">
      <c r="A15" s="2" t="n">
        <v>14</v>
      </c>
      <c r="B15" s="2" t="s">
        <v>82</v>
      </c>
      <c r="C15" s="2" t="n">
        <v>5</v>
      </c>
      <c r="D15" s="2" t="s">
        <v>87</v>
      </c>
      <c r="E15" s="2" t="s">
        <v>88</v>
      </c>
      <c r="F15" s="2" t="s">
        <v>22</v>
      </c>
      <c r="G15" s="2" t="s">
        <v>23</v>
      </c>
      <c r="H15" s="2" t="s">
        <v>89</v>
      </c>
      <c r="I15" s="2" t="s">
        <v>90</v>
      </c>
      <c r="J15" s="2" t="s">
        <v>26</v>
      </c>
      <c r="K15" s="3" t="s">
        <v>27</v>
      </c>
      <c r="L15" s="2"/>
      <c r="M15" s="2"/>
      <c r="N15" s="2"/>
      <c r="O15" s="2"/>
      <c r="P15" s="2"/>
      <c r="Q15" s="2"/>
      <c r="R15" s="2"/>
      <c r="S15" s="2"/>
    </row>
    <row r="16" customFormat="false" ht="23.85" hidden="false" customHeight="false" outlineLevel="0" collapsed="false">
      <c r="A16" s="2" t="n">
        <v>15</v>
      </c>
      <c r="B16" s="2" t="s">
        <v>91</v>
      </c>
      <c r="C16" s="2" t="n">
        <v>5</v>
      </c>
      <c r="D16" s="2" t="s">
        <v>92</v>
      </c>
      <c r="E16" s="2" t="s">
        <v>93</v>
      </c>
      <c r="F16" s="2" t="s">
        <v>22</v>
      </c>
      <c r="G16" s="2" t="s">
        <v>23</v>
      </c>
      <c r="H16" s="2" t="s">
        <v>94</v>
      </c>
      <c r="I16" s="2" t="s">
        <v>95</v>
      </c>
      <c r="J16" s="2" t="s">
        <v>26</v>
      </c>
      <c r="K16" s="3" t="s">
        <v>27</v>
      </c>
      <c r="L16" s="2"/>
      <c r="M16" s="2"/>
      <c r="N16" s="2"/>
      <c r="O16" s="2"/>
      <c r="P16" s="2"/>
      <c r="Q16" s="2"/>
      <c r="R16" s="2"/>
      <c r="S16" s="2"/>
    </row>
    <row r="17" customFormat="false" ht="23.85" hidden="false" customHeight="false" outlineLevel="0" collapsed="false">
      <c r="A17" s="2" t="n">
        <v>16</v>
      </c>
      <c r="B17" s="2" t="s">
        <v>96</v>
      </c>
      <c r="C17" s="2" t="n">
        <v>5</v>
      </c>
      <c r="D17" s="2" t="s">
        <v>97</v>
      </c>
      <c r="E17" s="2" t="s">
        <v>98</v>
      </c>
      <c r="F17" s="2" t="s">
        <v>22</v>
      </c>
      <c r="G17" s="2" t="s">
        <v>23</v>
      </c>
      <c r="H17" s="2" t="s">
        <v>99</v>
      </c>
      <c r="I17" s="2" t="s">
        <v>100</v>
      </c>
      <c r="J17" s="2" t="s">
        <v>26</v>
      </c>
      <c r="K17" s="3" t="s">
        <v>27</v>
      </c>
      <c r="L17" s="2"/>
      <c r="M17" s="2"/>
      <c r="N17" s="2"/>
      <c r="O17" s="2"/>
      <c r="P17" s="2"/>
      <c r="Q17" s="2"/>
      <c r="R17" s="2"/>
      <c r="S17" s="2"/>
    </row>
  </sheetData>
  <autoFilter ref="A1:S1"/>
  <dataValidations count="3">
    <dataValidation allowBlank="true" error="Please select a valid status" errorStyle="stop" operator="between" showDropDown="false" showErrorMessage="false" showInputMessage="false" sqref="K2:K100" type="list">
      <formula1>"Pending,In Progress,Approved,Approved with Edits,Rejected"</formula1>
      <formula2>0</formula2>
    </dataValidation>
    <dataValidation allowBlank="true" errorStyle="stop" operator="between" showDropDown="false" showErrorMessage="false" showInputMessage="false" sqref="M2:Q100" type="list">
      <formula1>"Pass,Fail,N/A"</formula1>
      <formula2>0</formula2>
    </dataValidation>
    <dataValidation allowBlank="true" errorStyle="stop" operator="between" showDropDown="false" showErrorMessage="false" showInputMessage="false" sqref="G2:G100" type="list">
      <formula1>"Generated,Edited,Reviewed,Assisted"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0"/>
    <col collapsed="false" customWidth="true" hidden="false" outlineLevel="0" max="5" min="2" style="0" width="14"/>
  </cols>
  <sheetData>
    <row r="1" customFormat="false" ht="15" hidden="false" customHeight="false" outlineLevel="0" collapsed="false">
      <c r="A1" s="1" t="s">
        <v>2</v>
      </c>
      <c r="B1" s="1" t="s">
        <v>101</v>
      </c>
      <c r="C1" s="1" t="s">
        <v>27</v>
      </c>
      <c r="D1" s="1" t="s">
        <v>102</v>
      </c>
      <c r="E1" s="1" t="s">
        <v>103</v>
      </c>
    </row>
    <row r="2" customFormat="false" ht="15" hidden="false" customHeight="false" outlineLevel="0" collapsed="false">
      <c r="A2" s="2" t="n">
        <v>1</v>
      </c>
      <c r="B2" s="2" t="n">
        <f aca="false">COUNTIF('AI Use Log'!C:C,1)</f>
        <v>1</v>
      </c>
      <c r="C2" s="2" t="n">
        <f aca="false">COUNTIFS('AI Use Log'!C:C,1,'AI Use Log'!K:K,"Pending")</f>
        <v>1</v>
      </c>
      <c r="D2" s="2" t="n">
        <f aca="false">COUNTIFS('AI Use Log'!C:C,1,'AI Use Log'!K:K,"Approved")</f>
        <v>0</v>
      </c>
      <c r="E2" s="2" t="n">
        <f aca="false">COUNTIFS('AI Use Log'!C:C,1,'AI Use Log'!K:K,"Rejected")</f>
        <v>0</v>
      </c>
    </row>
    <row r="3" customFormat="false" ht="15" hidden="false" customHeight="false" outlineLevel="0" collapsed="false">
      <c r="A3" s="2" t="n">
        <v>2</v>
      </c>
      <c r="B3" s="2" t="n">
        <f aca="false">COUNTIF('AI Use Log'!C:C,2)</f>
        <v>4</v>
      </c>
      <c r="C3" s="2" t="n">
        <f aca="false">COUNTIFS('AI Use Log'!C:C,2,'AI Use Log'!K:K,"Pending")</f>
        <v>4</v>
      </c>
      <c r="D3" s="2" t="n">
        <f aca="false">COUNTIFS('AI Use Log'!C:C,2,'AI Use Log'!K:K,"Approved")</f>
        <v>0</v>
      </c>
      <c r="E3" s="2" t="n">
        <f aca="false">COUNTIFS('AI Use Log'!C:C,2,'AI Use Log'!K:K,"Rejected")</f>
        <v>0</v>
      </c>
    </row>
    <row r="4" customFormat="false" ht="15" hidden="false" customHeight="false" outlineLevel="0" collapsed="false">
      <c r="A4" s="2" t="n">
        <v>3</v>
      </c>
      <c r="B4" s="2" t="n">
        <f aca="false">COUNTIF('AI Use Log'!C:C,3)</f>
        <v>2</v>
      </c>
      <c r="C4" s="2" t="n">
        <f aca="false">COUNTIFS('AI Use Log'!C:C,3,'AI Use Log'!K:K,"Pending")</f>
        <v>2</v>
      </c>
      <c r="D4" s="2" t="n">
        <f aca="false">COUNTIFS('AI Use Log'!C:C,3,'AI Use Log'!K:K,"Approved")</f>
        <v>0</v>
      </c>
      <c r="E4" s="2" t="n">
        <f aca="false">COUNTIFS('AI Use Log'!C:C,3,'AI Use Log'!K:K,"Rejected")</f>
        <v>0</v>
      </c>
    </row>
    <row r="5" customFormat="false" ht="15" hidden="false" customHeight="false" outlineLevel="0" collapsed="false">
      <c r="A5" s="2" t="n">
        <v>4</v>
      </c>
      <c r="B5" s="2" t="n">
        <f aca="false">COUNTIF('AI Use Log'!C:C,4)</f>
        <v>3</v>
      </c>
      <c r="C5" s="2" t="n">
        <f aca="false">COUNTIFS('AI Use Log'!C:C,4,'AI Use Log'!K:K,"Pending")</f>
        <v>3</v>
      </c>
      <c r="D5" s="2" t="n">
        <f aca="false">COUNTIFS('AI Use Log'!C:C,4,'AI Use Log'!K:K,"Approved")</f>
        <v>0</v>
      </c>
      <c r="E5" s="2" t="n">
        <f aca="false">COUNTIFS('AI Use Log'!C:C,4,'AI Use Log'!K:K,"Rejected")</f>
        <v>0</v>
      </c>
    </row>
    <row r="6" customFormat="false" ht="15" hidden="false" customHeight="false" outlineLevel="0" collapsed="false">
      <c r="A6" s="2" t="n">
        <v>5</v>
      </c>
      <c r="B6" s="2" t="n">
        <f aca="false">COUNTIF('AI Use Log'!C:C,5)</f>
        <v>6</v>
      </c>
      <c r="C6" s="2" t="n">
        <f aca="false">COUNTIFS('AI Use Log'!C:C,5,'AI Use Log'!K:K,"Pending")</f>
        <v>6</v>
      </c>
      <c r="D6" s="2" t="n">
        <f aca="false">COUNTIFS('AI Use Log'!C:C,5,'AI Use Log'!K:K,"Approved")</f>
        <v>0</v>
      </c>
      <c r="E6" s="2" t="n">
        <f aca="false">COUNTIFS('AI Use Log'!C:C,5,'AI Use Log'!K:K,"Rejected")</f>
        <v>0</v>
      </c>
    </row>
    <row r="7" customFormat="false" ht="15" hidden="false" customHeight="false" outlineLevel="0" collapsed="false">
      <c r="A7" s="4" t="s">
        <v>104</v>
      </c>
      <c r="B7" s="4" t="n">
        <f aca="false">SUM(B2:B6)</f>
        <v>16</v>
      </c>
      <c r="C7" s="4" t="n">
        <f aca="false">SUM(C2:C6)</f>
        <v>16</v>
      </c>
      <c r="D7" s="4" t="n">
        <f aca="false">SUM(D2:D6)</f>
        <v>0</v>
      </c>
      <c r="E7" s="4" t="n">
        <f aca="false">SUM(E2:E6)</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80"/>
  </cols>
  <sheetData>
    <row r="1" customFormat="false" ht="15" hidden="false" customHeight="false" outlineLevel="0" collapsed="false">
      <c r="A1" s="5" t="s">
        <v>105</v>
      </c>
    </row>
    <row r="3" customFormat="false" ht="46.25" hidden="false" customHeight="false" outlineLevel="0" collapsed="false">
      <c r="A3" s="6" t="s">
        <v>106</v>
      </c>
    </row>
    <row r="5" customFormat="false" ht="15" hidden="false" customHeight="false" outlineLevel="0" collapsed="false">
      <c r="A5" s="5" t="s">
        <v>107</v>
      </c>
    </row>
    <row r="7" customFormat="false" ht="35.05" hidden="false" customHeight="false" outlineLevel="0" collapsed="false">
      <c r="A7" s="6" t="s">
        <v>108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2026-03-21T09:48:41Z</dcterms:created>
  <dc:creator>openpyxl</dc:creator>
  <dc:description/>
  <dc:language>en-US</dc:language>
  <cp:lastModifiedBy/>
  <dcterms:modified xsi:type="dcterms:W3CDTF">2026-03-21T09:48:41Z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